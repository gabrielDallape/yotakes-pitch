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missas" sheetId="1" state="visible" r:id="rId1"/>
    <sheet xmlns:r="http://schemas.openxmlformats.org/officeDocument/2006/relationships" name="Preços" sheetId="2" state="visible" r:id="rId2"/>
    <sheet xmlns:r="http://schemas.openxmlformats.org/officeDocument/2006/relationships" name="Infraestrutura" sheetId="3" state="visible" r:id="rId3"/>
    <sheet xmlns:r="http://schemas.openxmlformats.org/officeDocument/2006/relationships" name="IA do parceiro" sheetId="4" state="visible" r:id="rId4"/>
    <sheet xmlns:r="http://schemas.openxmlformats.org/officeDocument/2006/relationships" name="Projeçã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R$&quot; #,##0.00"/>
    <numFmt numFmtId="165" formatCode="&quot;R$&quot; #,##0.0000"/>
    <numFmt numFmtId="166" formatCode="&quot;R$&quot; #,##0"/>
    <numFmt numFmtId="167" formatCode="&quot;R$&quot; #,##0.000"/>
    <numFmt numFmtId="168" formatCode="#,##0.0000"/>
  </numFmts>
  <fonts count="5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color rgb="00FFFFFF"/>
    </font>
    <font>
      <name val="Calibri"/>
      <b val="1"/>
      <sz val="13"/>
    </font>
    <font>
      <name val="Calibri"/>
      <b val="1"/>
    </font>
  </fonts>
  <fills count="5">
    <fill>
      <patternFill/>
    </fill>
    <fill>
      <patternFill patternType="gray125"/>
    </fill>
    <fill>
      <patternFill patternType="solid">
        <fgColor rgb="001F4D40"/>
      </patternFill>
    </fill>
    <fill>
      <patternFill patternType="solid">
        <fgColor rgb="00FFF4CC"/>
      </patternFill>
    </fill>
    <fill>
      <patternFill patternType="solid">
        <fgColor rgb="00F6F1E6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0" fillId="0" borderId="1" pivotButton="0" quotePrefix="0" xfId="0"/>
    <xf numFmtId="164" fontId="0" fillId="3" borderId="1" pivotButton="0" quotePrefix="0" xfId="0"/>
    <xf numFmtId="0" fontId="0" fillId="0" borderId="1" applyAlignment="1" pivotButton="0" quotePrefix="0" xfId="0">
      <alignment wrapText="1"/>
    </xf>
    <xf numFmtId="10" fontId="0" fillId="3" borderId="1" pivotButton="0" quotePrefix="0" xfId="0"/>
    <xf numFmtId="165" fontId="0" fillId="3" borderId="1" pivotButton="0" quotePrefix="0" xfId="0"/>
    <xf numFmtId="0" fontId="3" fillId="0" borderId="0" pivotButton="0" quotePrefix="0" xfId="0"/>
    <xf numFmtId="164" fontId="0" fillId="0" borderId="1" pivotButton="0" quotePrefix="0" xfId="0"/>
    <xf numFmtId="0" fontId="4" fillId="4" borderId="1" pivotButton="0" quotePrefix="0" xfId="0"/>
    <xf numFmtId="164" fontId="4" fillId="4" borderId="1" pivotButton="0" quotePrefix="0" xfId="0"/>
    <xf numFmtId="4" fontId="0" fillId="0" borderId="1" pivotButton="0" quotePrefix="0" xfId="0"/>
    <xf numFmtId="166" fontId="0" fillId="3" borderId="1" pivotButton="0" quotePrefix="0" xfId="0"/>
    <xf numFmtId="0" fontId="4" fillId="0" borderId="0" pivotButton="0" quotePrefix="0" xfId="0"/>
    <xf numFmtId="4" fontId="0" fillId="0" borderId="0" pivotButton="0" quotePrefix="0" xfId="0"/>
    <xf numFmtId="166" fontId="4" fillId="0" borderId="0" pivotButton="0" quotePrefix="0" xfId="0"/>
    <xf numFmtId="4" fontId="0" fillId="3" borderId="1" pivotButton="0" quotePrefix="0" xfId="0"/>
    <xf numFmtId="166" fontId="0" fillId="0" borderId="1" pivotButton="0" quotePrefix="0" xfId="0"/>
    <xf numFmtId="167" fontId="0" fillId="0" borderId="1" pivotButton="0" quotePrefix="0" xfId="0"/>
    <xf numFmtId="3" fontId="0" fillId="0" borderId="1" pivotButton="0" quotePrefix="0" xfId="0"/>
    <xf numFmtId="10" fontId="0" fillId="0" borderId="1" pivotButton="0" quotePrefix="0" xfId="0"/>
    <xf numFmtId="168" fontId="0" fillId="3" borderId="1" pivotButton="0" quotePrefix="0" xfId="0"/>
    <xf numFmtId="3" fontId="0" fillId="3" borderId="1" pivotButton="0" quotePrefix="0" xfId="0"/>
    <xf numFmtId="168" fontId="0" fillId="0" borderId="1" pivotButton="0" quotePrefix="0" xfId="0"/>
    <xf numFmtId="164" fontId="4" fillId="0" borderId="1" pivotButton="0" quotePrefix="0" xfId="0"/>
    <xf numFmtId="49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52" customWidth="1" min="2" max="2"/>
    <col width="14" customWidth="1" min="3" max="3"/>
    <col width="90" customWidth="1" min="4" max="4"/>
  </cols>
  <sheetData>
    <row r="1">
      <c r="A1" s="1" t="inlineStr">
        <is>
          <t>Yotakes — Planilha financeira</t>
        </is>
      </c>
    </row>
    <row r="2">
      <c r="A2" t="inlineStr">
        <is>
          <t>Células amarelas são entradas. Todas as outras abas são fórmulas sobre esta. Preços e infraestrutura: memória de cálculo do deck (15/09/2026).</t>
        </is>
      </c>
    </row>
    <row r="4">
      <c r="A4" s="2" t="inlineStr">
        <is>
          <t>Chave</t>
        </is>
      </c>
      <c r="B4" s="2" t="inlineStr">
        <is>
          <t>Premissa</t>
        </is>
      </c>
      <c r="C4" s="2" t="inlineStr">
        <is>
          <t>Valor</t>
        </is>
      </c>
      <c r="D4" s="2" t="inlineStr">
        <is>
          <t>Nota</t>
        </is>
      </c>
    </row>
    <row r="5">
      <c r="A5" s="3" t="inlineStr">
        <is>
          <t>preco_sous</t>
        </is>
      </c>
      <c r="B5" s="3" t="inlineStr">
        <is>
          <t>Preço Sous Chef (R$/mês)</t>
        </is>
      </c>
      <c r="C5" s="4" t="n">
        <v>9.9</v>
      </c>
      <c r="D5" s="5" t="inlineStr">
        <is>
          <t>Logo acima do Letterboxd Pro (US$ 19/ano ≈ R$ 8,15/mês).</t>
        </is>
      </c>
    </row>
    <row r="6">
      <c r="A6" s="3" t="inlineStr">
        <is>
          <t>preco_chef</t>
        </is>
      </c>
      <c r="B6" s="3" t="inlineStr">
        <is>
          <t>Preço Chef (R$/mês)</t>
        </is>
      </c>
      <c r="C6" s="4" t="n">
        <v>23.9</v>
      </c>
      <c r="D6" s="5" t="inlineStr">
        <is>
          <t>Igual ao Spotify Individual no Brasil; logo acima do Letterboxd Patron (≈ R$ 21,03/mês).</t>
        </is>
      </c>
    </row>
    <row r="7">
      <c r="A7" s="3" t="inlineStr">
        <is>
          <t>preco_parceiro</t>
        </is>
      </c>
      <c r="B7" s="3" t="inlineStr">
        <is>
          <t>Preço Restaurante Parceiro — Analytics (R$/mês)</t>
        </is>
      </c>
      <c r="C7" s="4" t="n">
        <v>199</v>
      </c>
      <c r="D7" s="5" t="inlineStr">
        <is>
          <t>Hipótese. Abaixo do ReviewTrackers (a partir de US$ 89 ≈ R$ 458/mês) e muito abaixo do Birdeye (US$ 299–449). A validar com os pilotos.</t>
        </is>
      </c>
    </row>
    <row r="8">
      <c r="A8" s="3" t="inlineStr">
        <is>
          <t>taxa_loja</t>
        </is>
      </c>
      <c r="B8" s="3" t="inlineStr">
        <is>
          <t>Taxa das lojas de aplicativo (B2C)</t>
        </is>
      </c>
      <c r="C8" s="6" t="n">
        <v>0.15</v>
      </c>
      <c r="D8" s="5" t="inlineStr">
        <is>
          <t>App Store / Google Play, Small Business Program (receita anual &lt; US$ 1 mi).</t>
        </is>
      </c>
    </row>
    <row r="9">
      <c r="A9" s="3" t="inlineStr">
        <is>
          <t>imposto</t>
        </is>
      </c>
      <c r="B9" s="3" t="inlineStr">
        <is>
          <t>Imposto sobre receita (Simples Nacional, faixa inicial)</t>
        </is>
      </c>
      <c r="C9" s="6" t="n">
        <v>0.06</v>
      </c>
      <c r="D9" s="5" t="inlineStr"/>
    </row>
    <row r="10">
      <c r="A10" s="3" t="inlineStr">
        <is>
          <t>conv_sous</t>
        </is>
      </c>
      <c r="B10" s="3" t="inlineStr">
        <is>
          <t>Conversão para Sous Chef (% dos usuários ativos)</t>
        </is>
      </c>
      <c r="C10" s="6" t="n">
        <v>0.015</v>
      </c>
      <c r="D10" s="5" t="inlineStr">
        <is>
          <t>Conservador: o Letterboxd converte ~5% para planos pagos.</t>
        </is>
      </c>
    </row>
    <row r="11">
      <c r="A11" s="3" t="inlineStr">
        <is>
          <t>conv_chef</t>
        </is>
      </c>
      <c r="B11" s="3" t="inlineStr">
        <is>
          <t>Conversão para Chef (% dos usuários ativos)</t>
        </is>
      </c>
      <c r="C11" s="6" t="n">
        <v>0.0075</v>
      </c>
      <c r="D11" s="5" t="inlineStr"/>
    </row>
    <row r="12">
      <c r="A12" s="3" t="inlineStr">
        <is>
          <t>infra_base</t>
        </is>
      </c>
      <c r="B12" s="3" t="inlineStr">
        <is>
          <t>Infraestrutura básica até 10 mil usuários (R$/mês)</t>
        </is>
      </c>
      <c r="C12" s="4" t="n">
        <v>341</v>
      </c>
      <c r="D12" s="5" t="inlineStr">
        <is>
          <t>Banco + auth, hospedagem + CDN, e-mail transacional, mídia, domínio. Detalhe na aba Infraestrutura.</t>
        </is>
      </c>
    </row>
    <row r="13">
      <c r="A13" s="3" t="inlineStr">
        <is>
          <t>infra_var</t>
        </is>
      </c>
      <c r="B13" s="3" t="inlineStr">
        <is>
          <t>Infraestrutura por usuário acima de 10 mil (R$/usuário/mês)</t>
        </is>
      </c>
      <c r="C13" s="7" t="n">
        <v>0.0074</v>
      </c>
      <c r="D13" s="5" t="inlineStr">
        <is>
          <t>Interpolação entre o cenário de 10 mil (R$ 341) e o de 100 mil (R$ 1.004).</t>
        </is>
      </c>
    </row>
    <row r="14">
      <c r="A14" s="3" t="inlineStr">
        <is>
          <t>ia_parceiro</t>
        </is>
      </c>
      <c r="B14" s="3" t="inlineStr">
        <is>
          <t>IA do painel do parceiro (R$/parceiro/mês)</t>
        </is>
      </c>
      <c r="C14" s="4" t="n">
        <v>1.4</v>
      </c>
      <c r="D14" s="5" t="inlineStr">
        <is>
          <t>Modelo pequeno em lote semanal: ~US$ 0,0675 por análise × 4 semanas.</t>
        </is>
      </c>
    </row>
    <row r="15">
      <c r="A15" s="3" t="inlineStr">
        <is>
          <t>servicos</t>
        </is>
      </c>
      <c r="B15" s="3" t="inlineStr">
        <is>
          <t>Monitoramento e serviços após o lançamento (R$/mês)</t>
        </is>
      </c>
      <c r="C15" s="4" t="n">
        <v>260</v>
      </c>
      <c r="D15" s="5" t="inlineStr">
        <is>
          <t>Observabilidade, e-mail acima da franquia, backups. Leva a infra à faixa de R$ 600 do deck.</t>
        </is>
      </c>
    </row>
    <row r="16">
      <c r="A16" s="3" t="inlineStr">
        <is>
          <t>mkt_pre</t>
        </is>
      </c>
      <c r="B16" s="3" t="inlineStr">
        <is>
          <t>Marketing no beta fechado (R$/mês)</t>
        </is>
      </c>
      <c r="C16" s="4" t="n">
        <v>300</v>
      </c>
      <c r="D16" s="5" t="inlineStr">
        <is>
          <t>Material para convites, brindes para os primeiros avaliadores.</t>
        </is>
      </c>
    </row>
    <row r="17">
      <c r="A17" s="3" t="inlineStr">
        <is>
          <t>mkt_pos</t>
        </is>
      </c>
      <c r="B17" s="3" t="inlineStr">
        <is>
          <t>Marketing após o lançamento (R$/mês)</t>
        </is>
      </c>
      <c r="C17" s="4" t="n">
        <v>1000</v>
      </c>
      <c r="D17" s="5" t="inlineStr">
        <is>
          <t>Conteúdo, ativações com creators, QR codes nos parceiros. Sem mídia paga.</t>
        </is>
      </c>
    </row>
    <row r="18">
      <c r="A18" s="3" t="inlineStr">
        <is>
          <t>evento</t>
        </is>
      </c>
      <c r="B18" s="3" t="inlineStr">
        <is>
          <t>Evento de lançamento (R$, pontual)</t>
        </is>
      </c>
      <c r="C18" s="4" t="n">
        <v>3000</v>
      </c>
      <c r="D18" s="5" t="inlineStr">
        <is>
          <t>Lançamento oficial em restaurante parceiro, com menu exclusivo.</t>
        </is>
      </c>
    </row>
    <row r="19">
      <c r="A19" s="3" t="inlineStr">
        <is>
          <t>juridico</t>
        </is>
      </c>
      <c r="B19" s="3" t="inlineStr">
        <is>
          <t>Jurídico e LGPD (R$, pontual)</t>
        </is>
      </c>
      <c r="C19" s="4" t="n">
        <v>2000</v>
      </c>
      <c r="D19" s="5" t="inlineStr">
        <is>
          <t>Termos de uso, política de privacidade e contrato padrão B2B.</t>
        </is>
      </c>
    </row>
    <row r="20">
      <c r="A20" s="3" t="inlineStr">
        <is>
          <t>cambio</t>
        </is>
      </c>
      <c r="B20" s="3" t="inlineStr">
        <is>
          <t>Câmbio de referência (R$ por US$)</t>
        </is>
      </c>
      <c r="C20" s="4" t="n">
        <v>5.15</v>
      </c>
      <c r="D20" s="5" t="inlineStr">
        <is>
          <t>USD/BRL em 14/09/2026.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4" customWidth="1" min="4" max="4"/>
    <col width="20" customWidth="1" min="5" max="5"/>
  </cols>
  <sheetData>
    <row r="1">
      <c r="A1" s="8" t="inlineStr">
        <is>
          <t>Âncoras de preço e receita líquida por assinante</t>
        </is>
      </c>
    </row>
    <row r="3">
      <c r="A3" s="2" t="inlineStr">
        <is>
          <t>Referência</t>
        </is>
      </c>
      <c r="B3" s="2" t="inlineStr">
        <is>
          <t>Base</t>
        </is>
      </c>
      <c r="C3" s="2" t="inlineStr">
        <is>
          <t>R$/mês</t>
        </is>
      </c>
    </row>
    <row r="4">
      <c r="A4" s="3" t="inlineStr">
        <is>
          <t>Letterboxd Pro</t>
        </is>
      </c>
      <c r="B4" s="3" t="inlineStr">
        <is>
          <t>US$ 19/ano</t>
        </is>
      </c>
      <c r="C4" s="9" t="n">
        <v>8.15</v>
      </c>
    </row>
    <row r="5">
      <c r="A5" s="10" t="inlineStr">
        <is>
          <t>Sous Chef Yotakes</t>
        </is>
      </c>
      <c r="B5" s="10" t="inlineStr">
        <is>
          <t>mensal</t>
        </is>
      </c>
      <c r="C5" s="11" t="n">
        <v>9.9</v>
      </c>
    </row>
    <row r="6">
      <c r="A6" s="3" t="inlineStr">
        <is>
          <t>Duolingo Super (individual)</t>
        </is>
      </c>
      <c r="B6" s="3" t="inlineStr">
        <is>
          <t>mensal</t>
        </is>
      </c>
      <c r="C6" s="9" t="n">
        <v>14.99</v>
      </c>
    </row>
    <row r="7">
      <c r="A7" s="3" t="inlineStr">
        <is>
          <t>Netflix Padrão com anúncios</t>
        </is>
      </c>
      <c r="B7" s="3" t="inlineStr">
        <is>
          <t>mensal</t>
        </is>
      </c>
      <c r="C7" s="9" t="n">
        <v>20.9</v>
      </c>
    </row>
    <row r="8">
      <c r="A8" s="3" t="inlineStr">
        <is>
          <t>Letterboxd Patron</t>
        </is>
      </c>
      <c r="B8" s="3" t="inlineStr">
        <is>
          <t>US$ 49/ano</t>
        </is>
      </c>
      <c r="C8" s="9" t="n">
        <v>21.03</v>
      </c>
    </row>
    <row r="9">
      <c r="A9" s="3" t="inlineStr">
        <is>
          <t>Spotify Individual</t>
        </is>
      </c>
      <c r="B9" s="3" t="inlineStr">
        <is>
          <t>mensal</t>
        </is>
      </c>
      <c r="C9" s="9" t="n">
        <v>23.9</v>
      </c>
    </row>
    <row r="10">
      <c r="A10" s="10" t="inlineStr">
        <is>
          <t>Chef Yotakes</t>
        </is>
      </c>
      <c r="B10" s="10" t="inlineStr">
        <is>
          <t>mensal</t>
        </is>
      </c>
      <c r="C10" s="11" t="n">
        <v>23.9</v>
      </c>
    </row>
    <row r="11">
      <c r="A11" s="3" t="inlineStr">
        <is>
          <t>Duolingo Max</t>
        </is>
      </c>
      <c r="B11" s="3" t="inlineStr">
        <is>
          <t>mensal</t>
        </is>
      </c>
      <c r="C11" s="9" t="n">
        <v>33.33</v>
      </c>
    </row>
    <row r="12">
      <c r="A12" s="3" t="inlineStr">
        <is>
          <t>Netflix Padrão sem anúncios</t>
        </is>
      </c>
      <c r="B12" s="3" t="inlineStr">
        <is>
          <t>mensal</t>
        </is>
      </c>
      <c r="C12" s="9" t="n">
        <v>44.9</v>
      </c>
    </row>
    <row r="15">
      <c r="A15" s="2" t="inlineStr">
        <is>
          <t>Plano</t>
        </is>
      </c>
      <c r="B15" s="2" t="inlineStr">
        <is>
          <t>Preço bruto</t>
        </is>
      </c>
      <c r="C15" s="2" t="inlineStr">
        <is>
          <t>− Loja de apps</t>
        </is>
      </c>
      <c r="D15" s="2" t="inlineStr">
        <is>
          <t>− Imposto</t>
        </is>
      </c>
      <c r="E15" s="2" t="inlineStr">
        <is>
          <t>Receita líquida/mês</t>
        </is>
      </c>
    </row>
    <row r="16">
      <c r="A16" s="3" t="inlineStr">
        <is>
          <t>Sous Chef</t>
        </is>
      </c>
      <c r="B16" s="9">
        <f>Premissas!$C$5</f>
        <v/>
      </c>
      <c r="C16" s="9">
        <f>B16*Premissas!$C$8</f>
        <v/>
      </c>
      <c r="D16" s="9">
        <f>(B16-C16)*Premissas!$C$9</f>
        <v/>
      </c>
      <c r="E16" s="9">
        <f>B16-C16-D16</f>
        <v/>
      </c>
    </row>
    <row r="17">
      <c r="A17" s="3" t="inlineStr">
        <is>
          <t>Chef</t>
        </is>
      </c>
      <c r="B17" s="9">
        <f>Premissas!$C$6</f>
        <v/>
      </c>
      <c r="C17" s="9">
        <f>B17*Premissas!$C$8</f>
        <v/>
      </c>
      <c r="D17" s="9">
        <f>(B17-C17)*Premissas!$C$9</f>
        <v/>
      </c>
      <c r="E17" s="9">
        <f>B17-C17-D17</f>
        <v/>
      </c>
    </row>
    <row r="18">
      <c r="A18" s="3" t="inlineStr">
        <is>
          <t>Restaurante Parceiro</t>
        </is>
      </c>
      <c r="B18" s="9">
        <f>Premissas!$C$7</f>
        <v/>
      </c>
      <c r="C18" s="9" t="n">
        <v>0</v>
      </c>
      <c r="D18" s="9">
        <f>(B18-C18)*Premissas!$C$9</f>
        <v/>
      </c>
      <c r="E18" s="9">
        <f>B18-C18-D18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62" customWidth="1" min="1" max="1"/>
    <col width="14" customWidth="1" min="2" max="2"/>
    <col width="14" customWidth="1" min="3" max="3"/>
  </cols>
  <sheetData>
    <row r="1">
      <c r="A1" s="8" t="inlineStr">
        <is>
          <t>Custo de infraestrutura e ponto de equilíbrio</t>
        </is>
      </c>
    </row>
    <row r="3">
      <c r="A3" s="2" t="inlineStr">
        <is>
          <t>Item — 10 mil usuários ativos/mês</t>
        </is>
      </c>
      <c r="B3" s="2" t="inlineStr">
        <is>
          <t>US$/mês</t>
        </is>
      </c>
      <c r="C3" s="2" t="inlineStr">
        <is>
          <t>R$/mês</t>
        </is>
      </c>
    </row>
    <row r="4">
      <c r="A4" s="3" t="inlineStr">
        <is>
          <t>Banco de dados e autenticação (100 mil contas ativas inclusas)</t>
        </is>
      </c>
      <c r="B4" s="12" t="n">
        <v>25</v>
      </c>
      <c r="C4" s="13" t="n">
        <v>129</v>
      </c>
    </row>
    <row r="5">
      <c r="A5" s="3" t="inlineStr">
        <is>
          <t>Hospedagem e entrega de conteúdo (1 TB de tráfego)</t>
        </is>
      </c>
      <c r="B5" s="12" t="n">
        <v>20</v>
      </c>
      <c r="C5" s="13" t="n">
        <v>103</v>
      </c>
    </row>
    <row r="6">
      <c r="A6" s="3" t="inlineStr">
        <is>
          <t>E-mail transacional (acesso por link mágico e notificações)</t>
        </is>
      </c>
      <c r="B6" s="12" t="n">
        <v>20</v>
      </c>
      <c r="C6" s="13" t="n">
        <v>103</v>
      </c>
    </row>
    <row r="7">
      <c r="A7" s="3" t="inlineStr">
        <is>
          <t>Armazenamento das fotos dos takes (dentro da franquia)</t>
        </is>
      </c>
      <c r="B7" s="12" t="n">
        <v>0</v>
      </c>
      <c r="C7" s="13" t="n">
        <v>0</v>
      </c>
    </row>
    <row r="8">
      <c r="A8" s="3" t="inlineStr">
        <is>
          <t>Domínio e certificado (rateio mensal)</t>
        </is>
      </c>
      <c r="B8" s="12" t="n">
        <v>1.25</v>
      </c>
      <c r="C8" s="13" t="n">
        <v>6</v>
      </c>
    </row>
    <row r="9">
      <c r="A9" s="14" t="inlineStr">
        <is>
          <t>Total</t>
        </is>
      </c>
      <c r="B9" s="15">
        <f>SUM(B4:B8)</f>
        <v/>
      </c>
      <c r="C9" s="16">
        <f>SUM(C4:C8)</f>
        <v/>
      </c>
    </row>
    <row r="11">
      <c r="A11" s="2" t="inlineStr">
        <is>
          <t>Item — 100 mil usuários ativos/mês</t>
        </is>
      </c>
      <c r="B11" s="2" t="inlineStr">
        <is>
          <t>US$/mês</t>
        </is>
      </c>
      <c r="C11" s="2" t="inlineStr">
        <is>
          <t>R$/mês</t>
        </is>
      </c>
    </row>
    <row r="12">
      <c r="A12" s="3" t="inlineStr">
        <is>
          <t>Banco + autenticação e hospedagem + CDN (planos Pro)</t>
        </is>
      </c>
      <c r="B12" s="17" t="n">
        <v>45</v>
      </c>
      <c r="C12" s="18">
        <f>B12*Premissas!$C$20</f>
        <v/>
      </c>
    </row>
    <row r="13">
      <c r="A13" s="3" t="inlineStr">
        <is>
          <t>Armazenamento (≈ 420 GB médios, 100 GB inclusos)</t>
        </is>
      </c>
      <c r="B13" s="17" t="n">
        <v>6.72</v>
      </c>
      <c r="C13" s="18">
        <f>B13*Premissas!$C$20</f>
        <v/>
      </c>
    </row>
    <row r="14">
      <c r="A14" s="3" t="inlineStr">
        <is>
          <t>Tráfego acima do incluído (≈ 2,4 TB, cacheado a US$ 0,03/GB)</t>
        </is>
      </c>
      <c r="B14" s="17" t="n">
        <v>57</v>
      </c>
      <c r="C14" s="18">
        <f>B14*Premissas!$C$20</f>
        <v/>
      </c>
    </row>
    <row r="15">
      <c r="A15" s="3" t="inlineStr">
        <is>
          <t>E-mail transacional (volume maior)</t>
        </is>
      </c>
      <c r="B15" s="17" t="n">
        <v>85</v>
      </c>
      <c r="C15" s="18">
        <f>B15*Premissas!$C$20</f>
        <v/>
      </c>
    </row>
    <row r="16">
      <c r="A16" s="3" t="inlineStr">
        <is>
          <t>Domínio</t>
        </is>
      </c>
      <c r="B16" s="17" t="n">
        <v>1.25</v>
      </c>
      <c r="C16" s="18">
        <f>B16*Premissas!$C$20</f>
        <v/>
      </c>
    </row>
    <row r="17">
      <c r="A17" s="14" t="inlineStr">
        <is>
          <t>Total</t>
        </is>
      </c>
      <c r="B17" s="15">
        <f>SUM(B12:B16)</f>
        <v/>
      </c>
      <c r="C17" s="16">
        <f>SUM(C12:C16)</f>
        <v/>
      </c>
    </row>
    <row r="19">
      <c r="A19" s="2" t="inlineStr">
        <is>
          <t>Ponto de equilíbrio</t>
        </is>
      </c>
      <c r="B19" s="2" t="inlineStr">
        <is>
          <t>Valor</t>
        </is>
      </c>
      <c r="C19" s="2" t="inlineStr"/>
    </row>
    <row r="20">
      <c r="A20" s="3" t="inlineStr">
        <is>
          <t>Custo por usuário/mês — 10 mil</t>
        </is>
      </c>
      <c r="B20" s="19">
        <f>Infraestrutura!$C$9/10000</f>
        <v/>
      </c>
    </row>
    <row r="21">
      <c r="A21" s="3" t="inlineStr">
        <is>
          <t>Custo por usuário/mês — 100 mil</t>
        </is>
      </c>
      <c r="B21" s="19">
        <f>Infraestrutura!$C$17/100000</f>
        <v/>
      </c>
    </row>
    <row r="22">
      <c r="A22" s="3" t="inlineStr">
        <is>
          <t>Chefs necessários — 10 mil (receita líquida)</t>
        </is>
      </c>
      <c r="B22" s="20">
        <f>ROUNDUP(Infraestrutura!$C$9/Preços!$E$17,0)</f>
        <v/>
      </c>
    </row>
    <row r="23">
      <c r="A23" s="3" t="inlineStr">
        <is>
          <t>Sous Chefs necessários — 10 mil (receita líquida)</t>
        </is>
      </c>
      <c r="B23" s="20">
        <f>ROUNDUP(Infraestrutura!$C$9/Preços!$E$16,0)</f>
        <v/>
      </c>
    </row>
    <row r="24">
      <c r="A24" s="3" t="inlineStr">
        <is>
          <t>Chefs necessários — 10 mil (preço bruto, como no deck)</t>
        </is>
      </c>
      <c r="B24" s="20">
        <f>ROUNDUP(Infraestrutura!$C$9/Premissas!$C$6,0)</f>
        <v/>
      </c>
    </row>
    <row r="25">
      <c r="A25" s="3" t="inlineStr">
        <is>
          <t>Sous Chefs necessários — 10 mil (preço bruto, como no deck)</t>
        </is>
      </c>
      <c r="B25" s="20">
        <f>ROUNDUP(Infraestrutura!$C$9/Premissas!$C$5,0)</f>
        <v/>
      </c>
    </row>
    <row r="26">
      <c r="A26" s="3" t="inlineStr">
        <is>
          <t>Chefs necessários — 100 mil (receita líquida)</t>
        </is>
      </c>
      <c r="B26" s="20">
        <f>ROUNDUP(Infraestrutura!$C$17/Preços!$E$17,0)</f>
        <v/>
      </c>
    </row>
    <row r="27">
      <c r="A27" s="3" t="inlineStr">
        <is>
          <t>% da base que precisa ser Chef — 10 mil</t>
        </is>
      </c>
      <c r="B27" s="21">
        <f>B22/10000</f>
        <v/>
      </c>
    </row>
    <row r="28">
      <c r="A28" s="3" t="inlineStr">
        <is>
          <t>Usuários gratuitos sustentados por Chef — 10 mil</t>
        </is>
      </c>
      <c r="B28" s="20">
        <f>10000/B22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28" customWidth="1" min="3" max="3"/>
  </cols>
  <sheetData>
    <row r="1">
      <c r="A1" s="8" t="inlineStr">
        <is>
          <t>Custo da leitura por IA no painel do Restaurante Parceiro</t>
        </is>
      </c>
    </row>
    <row r="3">
      <c r="A3" s="2" t="inlineStr">
        <is>
          <t>Item</t>
        </is>
      </c>
      <c r="B3" s="2" t="inlineStr">
        <is>
          <t>Valor</t>
        </is>
      </c>
      <c r="C3" s="2" t="inlineStr">
        <is>
          <t>Unidade</t>
        </is>
      </c>
    </row>
    <row r="4">
      <c r="A4" s="3" t="inlineStr">
        <is>
          <t>Preço de entrada (US$ por milhão de tokens)</t>
        </is>
      </c>
      <c r="B4" s="22" t="n">
        <v>1</v>
      </c>
      <c r="C4" s="3" t="inlineStr">
        <is>
          <t>US$/M tokens</t>
        </is>
      </c>
    </row>
    <row r="5">
      <c r="A5" s="3" t="inlineStr">
        <is>
          <t>Preço de saída (US$ por milhão de tokens)</t>
        </is>
      </c>
      <c r="B5" s="22" t="n">
        <v>5</v>
      </c>
      <c r="C5" s="3" t="inlineStr">
        <is>
          <t>US$/M tokens</t>
        </is>
      </c>
    </row>
    <row r="6">
      <c r="A6" s="3" t="inlineStr">
        <is>
          <t>Tokens de entrada por análise</t>
        </is>
      </c>
      <c r="B6" s="23" t="n">
        <v>60000</v>
      </c>
      <c r="C6" s="3" t="inlineStr">
        <is>
          <t>tokens</t>
        </is>
      </c>
    </row>
    <row r="7">
      <c r="A7" s="3" t="inlineStr">
        <is>
          <t>Tokens de saída por análise</t>
        </is>
      </c>
      <c r="B7" s="23" t="n">
        <v>1500</v>
      </c>
      <c r="C7" s="3" t="inlineStr">
        <is>
          <t>tokens</t>
        </is>
      </c>
    </row>
    <row r="8">
      <c r="A8" s="3" t="inlineStr">
        <is>
          <t>Análises por mês (semanal)</t>
        </is>
      </c>
      <c r="B8" s="23" t="n">
        <v>4</v>
      </c>
      <c r="C8" s="3" t="inlineStr">
        <is>
          <t>análises</t>
        </is>
      </c>
    </row>
    <row r="9">
      <c r="A9" s="3" t="inlineStr">
        <is>
          <t>Custo por análise (US$)</t>
        </is>
      </c>
      <c r="B9" s="24">
        <f>B4*B6/1000000+B5*B7/1000000</f>
        <v/>
      </c>
      <c r="C9" s="3" t="inlineStr">
        <is>
          <t>US$</t>
        </is>
      </c>
    </row>
    <row r="10">
      <c r="A10" s="3" t="inlineStr">
        <is>
          <t>Custo por análise (R$)</t>
        </is>
      </c>
      <c r="B10" s="9">
        <f>B9*Premissas!$C$20</f>
        <v/>
      </c>
      <c r="C10" s="3" t="inlineStr">
        <is>
          <t>R$</t>
        </is>
      </c>
    </row>
    <row r="11">
      <c r="A11" s="3" t="inlineStr">
        <is>
          <t>Custo por parceiro por mês (R$)</t>
        </is>
      </c>
      <c r="B11" s="9">
        <f>B10*B8</f>
        <v/>
      </c>
      <c r="C11" s="3" t="inlineStr">
        <is>
          <t>R$</t>
        </is>
      </c>
    </row>
    <row r="12">
      <c r="A12" s="3" t="inlineStr">
        <is>
          <t>Referência de mercado — ReviewTrackers (a partir de, R$/mês)</t>
        </is>
      </c>
      <c r="B12" s="9">
        <f>89*Premissas!$C$20</f>
        <v/>
      </c>
      <c r="C12" s="3" t="inlineStr">
        <is>
          <t>R$</t>
        </is>
      </c>
    </row>
    <row r="13">
      <c r="A13" s="3" t="inlineStr">
        <is>
          <t>Referência de mercado — Birdeye (de, R$/mês)</t>
        </is>
      </c>
      <c r="B13" s="9">
        <f>299*Premissas!$C$20</f>
        <v/>
      </c>
      <c r="C13" s="3" t="inlineStr">
        <is>
          <t>R$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2" customWidth="1" min="2" max="2"/>
    <col width="12" customWidth="1" min="3" max="3"/>
    <col width="10" customWidth="1" min="4" max="4"/>
    <col width="11" customWidth="1" min="5" max="5"/>
    <col width="9" customWidth="1" min="6" max="6"/>
    <col width="12" customWidth="1" min="7" max="7"/>
    <col width="11" customWidth="1" min="8" max="8"/>
    <col width="14" customWidth="1" min="9" max="9"/>
    <col width="14" customWidth="1" min="10" max="10"/>
    <col width="14" customWidth="1" min="11" max="11"/>
    <col width="14" customWidth="1" min="12" max="12"/>
    <col width="15" customWidth="1" min="13" max="13"/>
    <col width="13" customWidth="1" min="14" max="14"/>
    <col width="11" customWidth="1" min="15" max="15"/>
    <col width="11" customWidth="1" min="16" max="16"/>
    <col width="11" customWidth="1" min="17" max="17"/>
    <col width="11" customWidth="1" min="18" max="18"/>
    <col width="13" customWidth="1" min="19" max="19"/>
    <col width="13" customWidth="1" min="20" max="20"/>
    <col width="15" customWidth="1" min="21" max="21"/>
  </cols>
  <sheetData>
    <row r="1">
      <c r="A1" s="8" t="inlineStr">
        <is>
          <t>Projeção de 12 meses — novembro de 2026 a outubro de 2027</t>
        </is>
      </c>
    </row>
    <row r="2">
      <c r="A2" t="inlineStr">
        <is>
          <t>Entradas (amarelo): usuários ativos, parceiros, B2C monetizado (1/0), lançado (1/0) e pontuais. O resto é fórmula sobre Premissas e Preços.</t>
        </is>
      </c>
    </row>
    <row r="4">
      <c r="A4" s="2" t="inlineStr">
        <is>
          <t>Mês</t>
        </is>
      </c>
      <c r="B4" s="2" t="inlineStr">
        <is>
          <t>Fase</t>
        </is>
      </c>
      <c r="C4" s="2" t="inlineStr">
        <is>
          <t>Usuários ativos</t>
        </is>
      </c>
      <c r="D4" s="2" t="inlineStr">
        <is>
          <t>Parceiros</t>
        </is>
      </c>
      <c r="E4" s="2" t="inlineStr">
        <is>
          <t>B2C monetizado</t>
        </is>
      </c>
      <c r="F4" s="2" t="inlineStr">
        <is>
          <t>Lançado</t>
        </is>
      </c>
      <c r="G4" s="2" t="inlineStr">
        <is>
          <t>Assinantes Sous Chef</t>
        </is>
      </c>
      <c r="H4" s="2" t="inlineStr">
        <is>
          <t>Assinantes Chef</t>
        </is>
      </c>
      <c r="I4" s="2" t="inlineStr">
        <is>
          <t>Receita B2C bruta</t>
        </is>
      </c>
      <c r="J4" s="2" t="inlineStr">
        <is>
          <t>Receita B2C líquida</t>
        </is>
      </c>
      <c r="K4" s="2" t="inlineStr">
        <is>
          <t>Receita B2B bruta</t>
        </is>
      </c>
      <c r="L4" s="2" t="inlineStr">
        <is>
          <t>Receita B2B líquida</t>
        </is>
      </c>
      <c r="M4" s="2" t="inlineStr">
        <is>
          <t>Receita líquida total</t>
        </is>
      </c>
      <c r="N4" s="2" t="inlineStr">
        <is>
          <t>Infraestrutura</t>
        </is>
      </c>
      <c r="O4" s="2" t="inlineStr">
        <is>
          <t>IA do parceiro</t>
        </is>
      </c>
      <c r="P4" s="2" t="inlineStr">
        <is>
          <t>Serviços</t>
        </is>
      </c>
      <c r="Q4" s="2" t="inlineStr">
        <is>
          <t>Marketing</t>
        </is>
      </c>
      <c r="R4" s="2" t="inlineStr">
        <is>
          <t>Pontuais</t>
        </is>
      </c>
      <c r="S4" s="2" t="inlineStr">
        <is>
          <t>Custos totais</t>
        </is>
      </c>
      <c r="T4" s="2" t="inlineStr">
        <is>
          <t>Resultado</t>
        </is>
      </c>
      <c r="U4" s="2" t="inlineStr">
        <is>
          <t>Caixa acumulado</t>
        </is>
      </c>
    </row>
    <row r="5">
      <c r="A5" s="3" t="inlineStr">
        <is>
          <t>Nov/2026</t>
        </is>
      </c>
      <c r="B5" s="3" t="inlineStr">
        <is>
          <t>Beta fechado</t>
        </is>
      </c>
      <c r="C5" s="23" t="n">
        <v>300</v>
      </c>
      <c r="D5" s="23" t="n">
        <v>0</v>
      </c>
      <c r="E5" s="23" t="n">
        <v>0</v>
      </c>
      <c r="F5" s="23" t="n">
        <v>0</v>
      </c>
      <c r="G5" s="20">
        <f>ROUND(C5*Premissas!$C$10*E5,0)</f>
        <v/>
      </c>
      <c r="H5" s="20">
        <f>ROUND(C5*Premissas!$C$11*E5,0)</f>
        <v/>
      </c>
      <c r="I5" s="9">
        <f>G5*Premissas!$C$5+H5*Premissas!$C$6</f>
        <v/>
      </c>
      <c r="J5" s="9">
        <f>I5*(1-Premissas!$C$8)*(1-Premissas!$C$9)</f>
        <v/>
      </c>
      <c r="K5" s="9">
        <f>D5*Premissas!$C$7</f>
        <v/>
      </c>
      <c r="L5" s="9">
        <f>K5*(1-Premissas!$C$9)</f>
        <v/>
      </c>
      <c r="M5" s="9">
        <f>J5+L5</f>
        <v/>
      </c>
      <c r="N5" s="9">
        <f>Premissas!$C$12+MAX(0,C5-10000)*Premissas!$C$13</f>
        <v/>
      </c>
      <c r="O5" s="9">
        <f>D5*Premissas!$C$14</f>
        <v/>
      </c>
      <c r="P5" s="9">
        <f>Premissas!$C$15*F5</f>
        <v/>
      </c>
      <c r="Q5" s="9">
        <f>IF(F5=1,Premissas!$C$17,Premissas!$C$16)</f>
        <v/>
      </c>
      <c r="R5" s="4" t="n">
        <v>0</v>
      </c>
      <c r="S5" s="9">
        <f>SUM(N5:R5)</f>
        <v/>
      </c>
      <c r="T5" s="9">
        <f>M5-S5</f>
        <v/>
      </c>
      <c r="U5" s="9">
        <f>T5</f>
        <v/>
      </c>
    </row>
    <row r="6">
      <c r="A6" s="3" t="inlineStr">
        <is>
          <t>Dez/2026</t>
        </is>
      </c>
      <c r="B6" s="3" t="inlineStr">
        <is>
          <t>Beta fechado</t>
        </is>
      </c>
      <c r="C6" s="23" t="n">
        <v>500</v>
      </c>
      <c r="D6" s="23" t="n">
        <v>0</v>
      </c>
      <c r="E6" s="23" t="n">
        <v>0</v>
      </c>
      <c r="F6" s="23" t="n">
        <v>0</v>
      </c>
      <c r="G6" s="20">
        <f>ROUND(C6*Premissas!$C$10*E6,0)</f>
        <v/>
      </c>
      <c r="H6" s="20">
        <f>ROUND(C6*Premissas!$C$11*E6,0)</f>
        <v/>
      </c>
      <c r="I6" s="9">
        <f>G6*Premissas!$C$5+H6*Premissas!$C$6</f>
        <v/>
      </c>
      <c r="J6" s="9">
        <f>I6*(1-Premissas!$C$8)*(1-Premissas!$C$9)</f>
        <v/>
      </c>
      <c r="K6" s="9">
        <f>D6*Premissas!$C$7</f>
        <v/>
      </c>
      <c r="L6" s="9">
        <f>K6*(1-Premissas!$C$9)</f>
        <v/>
      </c>
      <c r="M6" s="9">
        <f>J6+L6</f>
        <v/>
      </c>
      <c r="N6" s="9">
        <f>Premissas!$C$12+MAX(0,C6-10000)*Premissas!$C$13</f>
        <v/>
      </c>
      <c r="O6" s="9">
        <f>D6*Premissas!$C$14</f>
        <v/>
      </c>
      <c r="P6" s="9">
        <f>Premissas!$C$15*F6</f>
        <v/>
      </c>
      <c r="Q6" s="9">
        <f>IF(F6=1,Premissas!$C$17,Premissas!$C$16)</f>
        <v/>
      </c>
      <c r="R6" s="4" t="n">
        <v>0</v>
      </c>
      <c r="S6" s="9">
        <f>SUM(N6:R6)</f>
        <v/>
      </c>
      <c r="T6" s="9">
        <f>M6-S6</f>
        <v/>
      </c>
      <c r="U6" s="9">
        <f>U5+T6</f>
        <v/>
      </c>
    </row>
    <row r="7">
      <c r="A7" s="3" t="inlineStr">
        <is>
          <t>Jan/2027</t>
        </is>
      </c>
      <c r="B7" s="3" t="inlineStr">
        <is>
          <t>Beta fechado</t>
        </is>
      </c>
      <c r="C7" s="23" t="n">
        <v>800</v>
      </c>
      <c r="D7" s="23" t="n">
        <v>0</v>
      </c>
      <c r="E7" s="23" t="n">
        <v>0</v>
      </c>
      <c r="F7" s="23" t="n">
        <v>0</v>
      </c>
      <c r="G7" s="20">
        <f>ROUND(C7*Premissas!$C$10*E7,0)</f>
        <v/>
      </c>
      <c r="H7" s="20">
        <f>ROUND(C7*Premissas!$C$11*E7,0)</f>
        <v/>
      </c>
      <c r="I7" s="9">
        <f>G7*Premissas!$C$5+H7*Premissas!$C$6</f>
        <v/>
      </c>
      <c r="J7" s="9">
        <f>I7*(1-Premissas!$C$8)*(1-Premissas!$C$9)</f>
        <v/>
      </c>
      <c r="K7" s="9">
        <f>D7*Premissas!$C$7</f>
        <v/>
      </c>
      <c r="L7" s="9">
        <f>K7*(1-Premissas!$C$9)</f>
        <v/>
      </c>
      <c r="M7" s="9">
        <f>J7+L7</f>
        <v/>
      </c>
      <c r="N7" s="9">
        <f>Premissas!$C$12+MAX(0,C7-10000)*Premissas!$C$13</f>
        <v/>
      </c>
      <c r="O7" s="9">
        <f>D7*Premissas!$C$14</f>
        <v/>
      </c>
      <c r="P7" s="9">
        <f>Premissas!$C$15*F7</f>
        <v/>
      </c>
      <c r="Q7" s="9">
        <f>IF(F7=1,Premissas!$C$17,Premissas!$C$16)</f>
        <v/>
      </c>
      <c r="R7" s="4" t="n">
        <v>2000</v>
      </c>
      <c r="S7" s="9">
        <f>SUM(N7:R7)</f>
        <v/>
      </c>
      <c r="T7" s="9">
        <f>M7-S7</f>
        <v/>
      </c>
      <c r="U7" s="9">
        <f>U6+T7</f>
        <v/>
      </c>
    </row>
    <row r="8">
      <c r="A8" s="3" t="inlineStr">
        <is>
          <t>Fev/2027</t>
        </is>
      </c>
      <c r="B8" s="3" t="inlineStr">
        <is>
          <t>Lançamento público</t>
        </is>
      </c>
      <c r="C8" s="23" t="n">
        <v>2000</v>
      </c>
      <c r="D8" s="23" t="n">
        <v>0</v>
      </c>
      <c r="E8" s="23" t="n">
        <v>0</v>
      </c>
      <c r="F8" s="23" t="n">
        <v>1</v>
      </c>
      <c r="G8" s="20">
        <f>ROUND(C8*Premissas!$C$10*E8,0)</f>
        <v/>
      </c>
      <c r="H8" s="20">
        <f>ROUND(C8*Premissas!$C$11*E8,0)</f>
        <v/>
      </c>
      <c r="I8" s="9">
        <f>G8*Premissas!$C$5+H8*Premissas!$C$6</f>
        <v/>
      </c>
      <c r="J8" s="9">
        <f>I8*(1-Premissas!$C$8)*(1-Premissas!$C$9)</f>
        <v/>
      </c>
      <c r="K8" s="9">
        <f>D8*Premissas!$C$7</f>
        <v/>
      </c>
      <c r="L8" s="9">
        <f>K8*(1-Premissas!$C$9)</f>
        <v/>
      </c>
      <c r="M8" s="9">
        <f>J8+L8</f>
        <v/>
      </c>
      <c r="N8" s="9">
        <f>Premissas!$C$12+MAX(0,C8-10000)*Premissas!$C$13</f>
        <v/>
      </c>
      <c r="O8" s="9">
        <f>D8*Premissas!$C$14</f>
        <v/>
      </c>
      <c r="P8" s="9">
        <f>Premissas!$C$15*F8</f>
        <v/>
      </c>
      <c r="Q8" s="9">
        <f>IF(F8=1,Premissas!$C$17,Premissas!$C$16)</f>
        <v/>
      </c>
      <c r="R8" s="4" t="n">
        <v>3000</v>
      </c>
      <c r="S8" s="9">
        <f>SUM(N8:R8)</f>
        <v/>
      </c>
      <c r="T8" s="9">
        <f>M8-S8</f>
        <v/>
      </c>
      <c r="U8" s="9">
        <f>U7+T8</f>
        <v/>
      </c>
    </row>
    <row r="9">
      <c r="A9" s="3" t="inlineStr">
        <is>
          <t>Mar/2027</t>
        </is>
      </c>
      <c r="B9" s="3" t="inlineStr">
        <is>
          <t>Escala e monetização</t>
        </is>
      </c>
      <c r="C9" s="23" t="n">
        <v>3000</v>
      </c>
      <c r="D9" s="23" t="n">
        <v>2</v>
      </c>
      <c r="E9" s="23" t="n">
        <v>1</v>
      </c>
      <c r="F9" s="23" t="n">
        <v>1</v>
      </c>
      <c r="G9" s="20">
        <f>ROUND(C9*Premissas!$C$10*E9,0)</f>
        <v/>
      </c>
      <c r="H9" s="20">
        <f>ROUND(C9*Premissas!$C$11*E9,0)</f>
        <v/>
      </c>
      <c r="I9" s="9">
        <f>G9*Premissas!$C$5+H9*Premissas!$C$6</f>
        <v/>
      </c>
      <c r="J9" s="9">
        <f>I9*(1-Premissas!$C$8)*(1-Premissas!$C$9)</f>
        <v/>
      </c>
      <c r="K9" s="9">
        <f>D9*Premissas!$C$7</f>
        <v/>
      </c>
      <c r="L9" s="9">
        <f>K9*(1-Premissas!$C$9)</f>
        <v/>
      </c>
      <c r="M9" s="9">
        <f>J9+L9</f>
        <v/>
      </c>
      <c r="N9" s="9">
        <f>Premissas!$C$12+MAX(0,C9-10000)*Premissas!$C$13</f>
        <v/>
      </c>
      <c r="O9" s="9">
        <f>D9*Premissas!$C$14</f>
        <v/>
      </c>
      <c r="P9" s="9">
        <f>Premissas!$C$15*F9</f>
        <v/>
      </c>
      <c r="Q9" s="9">
        <f>IF(F9=1,Premissas!$C$17,Premissas!$C$16)</f>
        <v/>
      </c>
      <c r="R9" s="4" t="n">
        <v>0</v>
      </c>
      <c r="S9" s="9">
        <f>SUM(N9:R9)</f>
        <v/>
      </c>
      <c r="T9" s="9">
        <f>M9-S9</f>
        <v/>
      </c>
      <c r="U9" s="9">
        <f>U8+T9</f>
        <v/>
      </c>
    </row>
    <row r="10">
      <c r="A10" s="3" t="inlineStr">
        <is>
          <t>Abr/2027</t>
        </is>
      </c>
      <c r="B10" s="3" t="inlineStr">
        <is>
          <t>Escala e monetização</t>
        </is>
      </c>
      <c r="C10" s="23" t="n">
        <v>4000</v>
      </c>
      <c r="D10" s="23" t="n">
        <v>4</v>
      </c>
      <c r="E10" s="23" t="n">
        <v>1</v>
      </c>
      <c r="F10" s="23" t="n">
        <v>1</v>
      </c>
      <c r="G10" s="20">
        <f>ROUND(C10*Premissas!$C$10*E10,0)</f>
        <v/>
      </c>
      <c r="H10" s="20">
        <f>ROUND(C10*Premissas!$C$11*E10,0)</f>
        <v/>
      </c>
      <c r="I10" s="9">
        <f>G10*Premissas!$C$5+H10*Premissas!$C$6</f>
        <v/>
      </c>
      <c r="J10" s="9">
        <f>I10*(1-Premissas!$C$8)*(1-Premissas!$C$9)</f>
        <v/>
      </c>
      <c r="K10" s="9">
        <f>D10*Premissas!$C$7</f>
        <v/>
      </c>
      <c r="L10" s="9">
        <f>K10*(1-Premissas!$C$9)</f>
        <v/>
      </c>
      <c r="M10" s="9">
        <f>J10+L10</f>
        <v/>
      </c>
      <c r="N10" s="9">
        <f>Premissas!$C$12+MAX(0,C10-10000)*Premissas!$C$13</f>
        <v/>
      </c>
      <c r="O10" s="9">
        <f>D10*Premissas!$C$14</f>
        <v/>
      </c>
      <c r="P10" s="9">
        <f>Premissas!$C$15*F10</f>
        <v/>
      </c>
      <c r="Q10" s="9">
        <f>IF(F10=1,Premissas!$C$17,Premissas!$C$16)</f>
        <v/>
      </c>
      <c r="R10" s="4" t="n">
        <v>0</v>
      </c>
      <c r="S10" s="9">
        <f>SUM(N10:R10)</f>
        <v/>
      </c>
      <c r="T10" s="9">
        <f>M10-S10</f>
        <v/>
      </c>
      <c r="U10" s="9">
        <f>U9+T10</f>
        <v/>
      </c>
    </row>
    <row r="11">
      <c r="A11" s="3" t="inlineStr">
        <is>
          <t>Mai/2027</t>
        </is>
      </c>
      <c r="B11" s="3" t="inlineStr">
        <is>
          <t>Escala e monetização</t>
        </is>
      </c>
      <c r="C11" s="23" t="n">
        <v>5000</v>
      </c>
      <c r="D11" s="23" t="n">
        <v>6</v>
      </c>
      <c r="E11" s="23" t="n">
        <v>1</v>
      </c>
      <c r="F11" s="23" t="n">
        <v>1</v>
      </c>
      <c r="G11" s="20">
        <f>ROUND(C11*Premissas!$C$10*E11,0)</f>
        <v/>
      </c>
      <c r="H11" s="20">
        <f>ROUND(C11*Premissas!$C$11*E11,0)</f>
        <v/>
      </c>
      <c r="I11" s="9">
        <f>G11*Premissas!$C$5+H11*Premissas!$C$6</f>
        <v/>
      </c>
      <c r="J11" s="9">
        <f>I11*(1-Premissas!$C$8)*(1-Premissas!$C$9)</f>
        <v/>
      </c>
      <c r="K11" s="9">
        <f>D11*Premissas!$C$7</f>
        <v/>
      </c>
      <c r="L11" s="9">
        <f>K11*(1-Premissas!$C$9)</f>
        <v/>
      </c>
      <c r="M11" s="9">
        <f>J11+L11</f>
        <v/>
      </c>
      <c r="N11" s="9">
        <f>Premissas!$C$12+MAX(0,C11-10000)*Premissas!$C$13</f>
        <v/>
      </c>
      <c r="O11" s="9">
        <f>D11*Premissas!$C$14</f>
        <v/>
      </c>
      <c r="P11" s="9">
        <f>Premissas!$C$15*F11</f>
        <v/>
      </c>
      <c r="Q11" s="9">
        <f>IF(F11=1,Premissas!$C$17,Premissas!$C$16)</f>
        <v/>
      </c>
      <c r="R11" s="4" t="n">
        <v>0</v>
      </c>
      <c r="S11" s="9">
        <f>SUM(N11:R11)</f>
        <v/>
      </c>
      <c r="T11" s="9">
        <f>M11-S11</f>
        <v/>
      </c>
      <c r="U11" s="9">
        <f>U10+T11</f>
        <v/>
      </c>
    </row>
    <row r="12">
      <c r="A12" s="3" t="inlineStr">
        <is>
          <t>Jun/2027</t>
        </is>
      </c>
      <c r="B12" s="3" t="inlineStr">
        <is>
          <t>Escala e monetização</t>
        </is>
      </c>
      <c r="C12" s="23" t="n">
        <v>6000</v>
      </c>
      <c r="D12" s="23" t="n">
        <v>8</v>
      </c>
      <c r="E12" s="23" t="n">
        <v>1</v>
      </c>
      <c r="F12" s="23" t="n">
        <v>1</v>
      </c>
      <c r="G12" s="20">
        <f>ROUND(C12*Premissas!$C$10*E12,0)</f>
        <v/>
      </c>
      <c r="H12" s="20">
        <f>ROUND(C12*Premissas!$C$11*E12,0)</f>
        <v/>
      </c>
      <c r="I12" s="9">
        <f>G12*Premissas!$C$5+H12*Premissas!$C$6</f>
        <v/>
      </c>
      <c r="J12" s="9">
        <f>I12*(1-Premissas!$C$8)*(1-Premissas!$C$9)</f>
        <v/>
      </c>
      <c r="K12" s="9">
        <f>D12*Premissas!$C$7</f>
        <v/>
      </c>
      <c r="L12" s="9">
        <f>K12*(1-Premissas!$C$9)</f>
        <v/>
      </c>
      <c r="M12" s="9">
        <f>J12+L12</f>
        <v/>
      </c>
      <c r="N12" s="9">
        <f>Premissas!$C$12+MAX(0,C12-10000)*Premissas!$C$13</f>
        <v/>
      </c>
      <c r="O12" s="9">
        <f>D12*Premissas!$C$14</f>
        <v/>
      </c>
      <c r="P12" s="9">
        <f>Premissas!$C$15*F12</f>
        <v/>
      </c>
      <c r="Q12" s="9">
        <f>IF(F12=1,Premissas!$C$17,Premissas!$C$16)</f>
        <v/>
      </c>
      <c r="R12" s="4" t="n">
        <v>0</v>
      </c>
      <c r="S12" s="9">
        <f>SUM(N12:R12)</f>
        <v/>
      </c>
      <c r="T12" s="9">
        <f>M12-S12</f>
        <v/>
      </c>
      <c r="U12" s="9">
        <f>U11+T12</f>
        <v/>
      </c>
    </row>
    <row r="13">
      <c r="A13" s="3" t="inlineStr">
        <is>
          <t>Jul/2027</t>
        </is>
      </c>
      <c r="B13" s="3" t="inlineStr">
        <is>
          <t>Escala e monetização</t>
        </is>
      </c>
      <c r="C13" s="23" t="n">
        <v>7000</v>
      </c>
      <c r="D13" s="23" t="n">
        <v>10</v>
      </c>
      <c r="E13" s="23" t="n">
        <v>1</v>
      </c>
      <c r="F13" s="23" t="n">
        <v>1</v>
      </c>
      <c r="G13" s="20">
        <f>ROUND(C13*Premissas!$C$10*E13,0)</f>
        <v/>
      </c>
      <c r="H13" s="20">
        <f>ROUND(C13*Premissas!$C$11*E13,0)</f>
        <v/>
      </c>
      <c r="I13" s="9">
        <f>G13*Premissas!$C$5+H13*Premissas!$C$6</f>
        <v/>
      </c>
      <c r="J13" s="9">
        <f>I13*(1-Premissas!$C$8)*(1-Premissas!$C$9)</f>
        <v/>
      </c>
      <c r="K13" s="9">
        <f>D13*Premissas!$C$7</f>
        <v/>
      </c>
      <c r="L13" s="9">
        <f>K13*(1-Premissas!$C$9)</f>
        <v/>
      </c>
      <c r="M13" s="9">
        <f>J13+L13</f>
        <v/>
      </c>
      <c r="N13" s="9">
        <f>Premissas!$C$12+MAX(0,C13-10000)*Premissas!$C$13</f>
        <v/>
      </c>
      <c r="O13" s="9">
        <f>D13*Premissas!$C$14</f>
        <v/>
      </c>
      <c r="P13" s="9">
        <f>Premissas!$C$15*F13</f>
        <v/>
      </c>
      <c r="Q13" s="9">
        <f>IF(F13=1,Premissas!$C$17,Premissas!$C$16)</f>
        <v/>
      </c>
      <c r="R13" s="4" t="n">
        <v>0</v>
      </c>
      <c r="S13" s="9">
        <f>SUM(N13:R13)</f>
        <v/>
      </c>
      <c r="T13" s="9">
        <f>M13-S13</f>
        <v/>
      </c>
      <c r="U13" s="9">
        <f>U12+T13</f>
        <v/>
      </c>
    </row>
    <row r="14">
      <c r="A14" s="3" t="inlineStr">
        <is>
          <t>Ago/2027</t>
        </is>
      </c>
      <c r="B14" s="3" t="inlineStr">
        <is>
          <t>Escala e monetização</t>
        </is>
      </c>
      <c r="C14" s="23" t="n">
        <v>8000</v>
      </c>
      <c r="D14" s="23" t="n">
        <v>13</v>
      </c>
      <c r="E14" s="23" t="n">
        <v>1</v>
      </c>
      <c r="F14" s="23" t="n">
        <v>1</v>
      </c>
      <c r="G14" s="20">
        <f>ROUND(C14*Premissas!$C$10*E14,0)</f>
        <v/>
      </c>
      <c r="H14" s="20">
        <f>ROUND(C14*Premissas!$C$11*E14,0)</f>
        <v/>
      </c>
      <c r="I14" s="9">
        <f>G14*Premissas!$C$5+H14*Premissas!$C$6</f>
        <v/>
      </c>
      <c r="J14" s="9">
        <f>I14*(1-Premissas!$C$8)*(1-Premissas!$C$9)</f>
        <v/>
      </c>
      <c r="K14" s="9">
        <f>D14*Premissas!$C$7</f>
        <v/>
      </c>
      <c r="L14" s="9">
        <f>K14*(1-Premissas!$C$9)</f>
        <v/>
      </c>
      <c r="M14" s="9">
        <f>J14+L14</f>
        <v/>
      </c>
      <c r="N14" s="9">
        <f>Premissas!$C$12+MAX(0,C14-10000)*Premissas!$C$13</f>
        <v/>
      </c>
      <c r="O14" s="9">
        <f>D14*Premissas!$C$14</f>
        <v/>
      </c>
      <c r="P14" s="9">
        <f>Premissas!$C$15*F14</f>
        <v/>
      </c>
      <c r="Q14" s="9">
        <f>IF(F14=1,Premissas!$C$17,Premissas!$C$16)</f>
        <v/>
      </c>
      <c r="R14" s="4" t="n">
        <v>0</v>
      </c>
      <c r="S14" s="9">
        <f>SUM(N14:R14)</f>
        <v/>
      </c>
      <c r="T14" s="9">
        <f>M14-S14</f>
        <v/>
      </c>
      <c r="U14" s="9">
        <f>U13+T14</f>
        <v/>
      </c>
    </row>
    <row r="15">
      <c r="A15" s="3" t="inlineStr">
        <is>
          <t>Set/2027</t>
        </is>
      </c>
      <c r="B15" s="3" t="inlineStr">
        <is>
          <t>Escala e monetização</t>
        </is>
      </c>
      <c r="C15" s="23" t="n">
        <v>9000</v>
      </c>
      <c r="D15" s="23" t="n">
        <v>16</v>
      </c>
      <c r="E15" s="23" t="n">
        <v>1</v>
      </c>
      <c r="F15" s="23" t="n">
        <v>1</v>
      </c>
      <c r="G15" s="20">
        <f>ROUND(C15*Premissas!$C$10*E15,0)</f>
        <v/>
      </c>
      <c r="H15" s="20">
        <f>ROUND(C15*Premissas!$C$11*E15,0)</f>
        <v/>
      </c>
      <c r="I15" s="9">
        <f>G15*Premissas!$C$5+H15*Premissas!$C$6</f>
        <v/>
      </c>
      <c r="J15" s="9">
        <f>I15*(1-Premissas!$C$8)*(1-Premissas!$C$9)</f>
        <v/>
      </c>
      <c r="K15" s="9">
        <f>D15*Premissas!$C$7</f>
        <v/>
      </c>
      <c r="L15" s="9">
        <f>K15*(1-Premissas!$C$9)</f>
        <v/>
      </c>
      <c r="M15" s="9">
        <f>J15+L15</f>
        <v/>
      </c>
      <c r="N15" s="9">
        <f>Premissas!$C$12+MAX(0,C15-10000)*Premissas!$C$13</f>
        <v/>
      </c>
      <c r="O15" s="9">
        <f>D15*Premissas!$C$14</f>
        <v/>
      </c>
      <c r="P15" s="9">
        <f>Premissas!$C$15*F15</f>
        <v/>
      </c>
      <c r="Q15" s="9">
        <f>IF(F15=1,Premissas!$C$17,Premissas!$C$16)</f>
        <v/>
      </c>
      <c r="R15" s="4" t="n">
        <v>0</v>
      </c>
      <c r="S15" s="9">
        <f>SUM(N15:R15)</f>
        <v/>
      </c>
      <c r="T15" s="9">
        <f>M15-S15</f>
        <v/>
      </c>
      <c r="U15" s="9">
        <f>U14+T15</f>
        <v/>
      </c>
    </row>
    <row r="16">
      <c r="A16" s="3" t="inlineStr">
        <is>
          <t>Out/2027</t>
        </is>
      </c>
      <c r="B16" s="3" t="inlineStr">
        <is>
          <t>Escala e monetização</t>
        </is>
      </c>
      <c r="C16" s="23" t="n">
        <v>10000</v>
      </c>
      <c r="D16" s="23" t="n">
        <v>20</v>
      </c>
      <c r="E16" s="23" t="n">
        <v>1</v>
      </c>
      <c r="F16" s="23" t="n">
        <v>1</v>
      </c>
      <c r="G16" s="20">
        <f>ROUND(C16*Premissas!$C$10*E16,0)</f>
        <v/>
      </c>
      <c r="H16" s="20">
        <f>ROUND(C16*Premissas!$C$11*E16,0)</f>
        <v/>
      </c>
      <c r="I16" s="9">
        <f>G16*Premissas!$C$5+H16*Premissas!$C$6</f>
        <v/>
      </c>
      <c r="J16" s="9">
        <f>I16*(1-Premissas!$C$8)*(1-Premissas!$C$9)</f>
        <v/>
      </c>
      <c r="K16" s="9">
        <f>D16*Premissas!$C$7</f>
        <v/>
      </c>
      <c r="L16" s="9">
        <f>K16*(1-Premissas!$C$9)</f>
        <v/>
      </c>
      <c r="M16" s="9">
        <f>J16+L16</f>
        <v/>
      </c>
      <c r="N16" s="9">
        <f>Premissas!$C$12+MAX(0,C16-10000)*Premissas!$C$13</f>
        <v/>
      </c>
      <c r="O16" s="9">
        <f>D16*Premissas!$C$14</f>
        <v/>
      </c>
      <c r="P16" s="9">
        <f>Premissas!$C$15*F16</f>
        <v/>
      </c>
      <c r="Q16" s="9">
        <f>IF(F16=1,Premissas!$C$17,Premissas!$C$16)</f>
        <v/>
      </c>
      <c r="R16" s="4" t="n">
        <v>0</v>
      </c>
      <c r="S16" s="9">
        <f>SUM(N16:R16)</f>
        <v/>
      </c>
      <c r="T16" s="9">
        <f>M16-S16</f>
        <v/>
      </c>
      <c r="U16" s="9">
        <f>U15+T16</f>
        <v/>
      </c>
    </row>
    <row r="17">
      <c r="A17" s="14" t="inlineStr">
        <is>
          <t>Total 12 meses</t>
        </is>
      </c>
      <c r="I17" s="25">
        <f>SUM(I5:I16)</f>
        <v/>
      </c>
      <c r="J17" s="25">
        <f>SUM(J5:J16)</f>
        <v/>
      </c>
      <c r="K17" s="25">
        <f>SUM(K5:K16)</f>
        <v/>
      </c>
      <c r="L17" s="25">
        <f>SUM(L5:L16)</f>
        <v/>
      </c>
      <c r="M17" s="25">
        <f>SUM(M5:M16)</f>
        <v/>
      </c>
      <c r="N17" s="25">
        <f>SUM(N5:N16)</f>
        <v/>
      </c>
      <c r="O17" s="25">
        <f>SUM(O5:O16)</f>
        <v/>
      </c>
      <c r="P17" s="25">
        <f>SUM(P5:P16)</f>
        <v/>
      </c>
      <c r="Q17" s="25">
        <f>SUM(Q5:Q16)</f>
        <v/>
      </c>
      <c r="R17" s="25">
        <f>SUM(R5:R16)</f>
        <v/>
      </c>
      <c r="S17" s="25">
        <f>SUM(S5:S16)</f>
        <v/>
      </c>
      <c r="T17" s="25">
        <f>SUM(T5:T16)</f>
        <v/>
      </c>
    </row>
    <row r="19">
      <c r="A19" s="2" t="inlineStr">
        <is>
          <t>Indicador</t>
        </is>
      </c>
      <c r="B19" s="2" t="inlineStr">
        <is>
          <t>Valor</t>
        </is>
      </c>
    </row>
    <row r="20">
      <c r="A20" s="3" t="inlineStr">
        <is>
          <t>Pior ponto do caixa (capital mínimo necessário)</t>
        </is>
      </c>
      <c r="B20" s="9">
        <f>MIN(U5:U16)</f>
        <v/>
      </c>
    </row>
    <row r="21">
      <c r="A21" s="3" t="inlineStr">
        <is>
          <t>Primeiro mês com resultado positivo</t>
        </is>
      </c>
      <c r="B21" s="26">
        <f>IFERROR(INDEX(A5:A16,MATCH(TRUE,INDEX(T5:T16&gt;0,0),0)),"—")</f>
        <v/>
      </c>
    </row>
    <row r="22">
      <c r="A22" s="3" t="inlineStr">
        <is>
          <t>Receita líquida mensal em outubro de 2027</t>
        </is>
      </c>
      <c r="B22" s="9">
        <f>M16</f>
        <v/>
      </c>
    </row>
    <row r="23">
      <c r="A23" s="3" t="inlineStr">
        <is>
          <t>Participação B2B na receita de outubro de 2027</t>
        </is>
      </c>
      <c r="B23" s="21">
        <f>IF(M16=0,0,L16/M16)</f>
        <v/>
      </c>
    </row>
    <row r="24">
      <c r="A24" s="3" t="inlineStr">
        <is>
          <t>Resultado acumulado em 12 meses</t>
        </is>
      </c>
      <c r="B24" s="9">
        <f>T17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2026-10-21T23:04:53Z</dcterms:created>
  <dcterms:modified xmlns:dcterms="http://purl.org/dc/terms/" xmlns:xsi="http://www.w3.org/2001/XMLSchema-instance" xsi:type="dcterms:W3CDTF">2026-10-21T23:04:53Z</dcterms:modified>
</cp:coreProperties>
</file>